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sh\Desktop\"/>
    </mc:Choice>
  </mc:AlternateContent>
  <bookViews>
    <workbookView xWindow="0" yWindow="0" windowWidth="20490" windowHeight="7650"/>
  </bookViews>
  <sheets>
    <sheet name="Home" sheetId="1" r:id="rId1"/>
    <sheet name="Database" sheetId="4" r:id="rId2"/>
    <sheet name="SearchData" sheetId="3" r:id="rId3"/>
    <sheet name="Print" sheetId="5" r:id="rId4"/>
    <sheet name="Combo_Box" sheetId="6" r:id="rId5"/>
  </sheets>
  <functionGroups builtInGroupCount="18"/>
  <definedNames>
    <definedName name="_xlnm._FilterDatabase" localSheetId="1" hidden="1">Database!$A$1:$K$10</definedName>
    <definedName name="Dynamic">Combo_Box!$B$2:$B$4</definedName>
    <definedName name="_xlnm.Print_Area" localSheetId="3">Print!$A$1:$I$31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4" l="1"/>
  <c r="A9" i="4"/>
  <c r="I19" i="5" l="1"/>
  <c r="A8" i="4"/>
  <c r="A5" i="4"/>
  <c r="A7" i="4" l="1"/>
  <c r="A6" i="4"/>
  <c r="A2" i="4" l="1"/>
  <c r="A4" i="4" l="1"/>
  <c r="A3" i="4"/>
  <c r="I23" i="5" l="1"/>
  <c r="B25" i="5"/>
</calcChain>
</file>

<file path=xl/sharedStrings.xml><?xml version="1.0" encoding="utf-8"?>
<sst xmlns="http://schemas.openxmlformats.org/spreadsheetml/2006/main" count="136" uniqueCount="98">
  <si>
    <t>Account No.</t>
  </si>
  <si>
    <t>Voucher Date</t>
  </si>
  <si>
    <t>Head of Accounts</t>
  </si>
  <si>
    <t>Bank</t>
  </si>
  <si>
    <t>Amount Rs</t>
  </si>
  <si>
    <t>S.No</t>
  </si>
  <si>
    <t>Submitted On</t>
  </si>
  <si>
    <t xml:space="preserve">MODE OF PAYMENT </t>
  </si>
  <si>
    <t xml:space="preserve"> </t>
  </si>
  <si>
    <t>Voucher No.</t>
  </si>
  <si>
    <t>Paid To</t>
  </si>
  <si>
    <t>DEBIT VOUCHER</t>
  </si>
  <si>
    <t>Voucher No:</t>
  </si>
  <si>
    <t>DATE:</t>
  </si>
  <si>
    <t>RUPEES:</t>
  </si>
  <si>
    <t>.</t>
  </si>
  <si>
    <t>PAID TO:</t>
  </si>
  <si>
    <t>MODE OF PAYMENT:</t>
  </si>
  <si>
    <t>BANK</t>
  </si>
  <si>
    <t>A/C NO:</t>
  </si>
  <si>
    <t>ON ACCOUNT OF.</t>
  </si>
  <si>
    <t xml:space="preserve">  HEAD OF ACCOUNT</t>
  </si>
  <si>
    <t xml:space="preserve">         A  M  O  U  N  T</t>
  </si>
  <si>
    <t>RS:</t>
  </si>
  <si>
    <t>Receiver's Signature</t>
  </si>
  <si>
    <t>Prepared by:</t>
  </si>
  <si>
    <t>Checked by:</t>
  </si>
  <si>
    <t xml:space="preserve">                Sanctioned by:</t>
  </si>
  <si>
    <t xml:space="preserve">  </t>
  </si>
  <si>
    <t xml:space="preserve"> TOTAL RS:</t>
  </si>
  <si>
    <t>On Account Of</t>
  </si>
  <si>
    <t>04.07.2023</t>
  </si>
  <si>
    <t>ELECTRICITY BILL EXPENSE</t>
  </si>
  <si>
    <t>K-Electric</t>
  </si>
  <si>
    <t>Alfalah</t>
  </si>
  <si>
    <t>Office's Electric bill for the month of  June 2023</t>
  </si>
  <si>
    <t>MISCELLANEOUS EXPENSE</t>
  </si>
  <si>
    <t>Saylani Welfare International Trust</t>
  </si>
  <si>
    <t>BY CHEQUE# 98338642</t>
  </si>
  <si>
    <t>For Donation.</t>
  </si>
  <si>
    <t>23-10-2023 15:21:58</t>
  </si>
  <si>
    <t>BY CHEQUE# 98338641</t>
  </si>
  <si>
    <t>WAGES EXPENSE</t>
  </si>
  <si>
    <t>Fazal Hussain</t>
  </si>
  <si>
    <t>BY CASH/CHQ# 98338644</t>
  </si>
  <si>
    <t>For part time driving work for the month on June 2023.</t>
  </si>
  <si>
    <t>23-10-2023 15:28:36</t>
  </si>
  <si>
    <t>23-10-2023 21:14:21</t>
  </si>
  <si>
    <t>23.10.2023</t>
  </si>
  <si>
    <t>CAR MAINTENANCE EXPENSE</t>
  </si>
  <si>
    <t>Kamal Motor</t>
  </si>
  <si>
    <t>BY CHEQUE# 98333456</t>
  </si>
  <si>
    <t>For Repairing Works</t>
  </si>
  <si>
    <t>FURNITURE &amp; FIXTURE</t>
  </si>
  <si>
    <t>ABC</t>
  </si>
  <si>
    <t>BY CHEQUE#</t>
  </si>
  <si>
    <t>Purchase</t>
  </si>
  <si>
    <t>23-10-2023 22:37:09</t>
  </si>
  <si>
    <t>BANK CHARGES</t>
  </si>
  <si>
    <t>None</t>
  </si>
  <si>
    <t>12.23.23</t>
  </si>
  <si>
    <t>hash</t>
  </si>
  <si>
    <t>Direct Bank Deduct</t>
  </si>
  <si>
    <t>sfhdshdfgd</t>
  </si>
  <si>
    <t>23-10-2023 22:43:36</t>
  </si>
  <si>
    <t>10/12/23</t>
  </si>
  <si>
    <t>chd</t>
  </si>
  <si>
    <t>BY CHEQUE#0311234</t>
  </si>
  <si>
    <t>xyz</t>
  </si>
  <si>
    <t>BANK NAME</t>
  </si>
  <si>
    <t>HBL</t>
  </si>
  <si>
    <t>Account No</t>
  </si>
  <si>
    <t>Al Habib</t>
  </si>
  <si>
    <t>MODE OF PAYMENT</t>
  </si>
  <si>
    <t>BY CASH/CHQ#</t>
  </si>
  <si>
    <t>BY CASH.</t>
  </si>
  <si>
    <t>HEAD OF ACCOUNTS</t>
  </si>
  <si>
    <t>CONVEYANCE EXPENSE</t>
  </si>
  <si>
    <t>ENTERTAINMENT EXPENSE</t>
  </si>
  <si>
    <t>HUSAMUDDIN NAIM</t>
  </si>
  <si>
    <t>INTERNET EXPENSE</t>
  </si>
  <si>
    <t>OFFICE MAINTENANCE EXPENSE</t>
  </si>
  <si>
    <t>OFFICE RENT EXPENSE</t>
  </si>
  <si>
    <t>POSTAGE EXPENSE</t>
  </si>
  <si>
    <t>PRINTING / STATIONERY EXPENSE</t>
  </si>
  <si>
    <t>SALARY EXPENSE</t>
  </si>
  <si>
    <t>SRB SALE TAX</t>
  </si>
  <si>
    <t>SUB-COMMISSION EXPENSE</t>
  </si>
  <si>
    <t>TAXES &amp; FEE</t>
  </si>
  <si>
    <t>TELEPHONE BILL EXPENSE</t>
  </si>
  <si>
    <t>TRAVELLING EXPENSE</t>
  </si>
  <si>
    <t>12/11/23</t>
  </si>
  <si>
    <t>XYZ</t>
  </si>
  <si>
    <t>zzz</t>
  </si>
  <si>
    <t>BY CHEQUE# 32221</t>
  </si>
  <si>
    <t>1000238208</t>
  </si>
  <si>
    <t>adf</t>
  </si>
  <si>
    <t>adv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</si>
</sst>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;@"/>
    <numFmt numFmtId="165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0"/>
      <color indexed="1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0" fillId="0" borderId="0" xfId="0" applyNumberFormat="1"/>
    <xf numFmtId="0" fontId="0" fillId="0" borderId="0" xfId="0" applyNumberFormat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horizontal="left"/>
    </xf>
    <xf numFmtId="0" fontId="8" fillId="0" borderId="2" xfId="1" applyNumberFormat="1" applyFont="1" applyBorder="1" applyAlignment="1">
      <alignment horizontal="left"/>
    </xf>
    <xf numFmtId="43" fontId="8" fillId="0" borderId="0" xfId="1" applyNumberFormat="1" applyFont="1" applyBorder="1" applyAlignment="1">
      <alignment horizontal="left"/>
    </xf>
    <xf numFmtId="164" fontId="5" fillId="0" borderId="2" xfId="0" applyNumberFormat="1" applyFont="1" applyBorder="1" applyAlignment="1">
      <alignment horizontal="left"/>
    </xf>
    <xf numFmtId="0" fontId="4" fillId="0" borderId="0" xfId="0" applyFont="1" applyAlignment="1">
      <alignment horizontal="left"/>
    </xf>
    <xf numFmtId="165" fontId="8" fillId="0" borderId="0" xfId="1" applyNumberFormat="1" applyFont="1" applyBorder="1" applyAlignment="1">
      <alignment horizontal="left"/>
    </xf>
    <xf numFmtId="164" fontId="5" fillId="0" borderId="0" xfId="0" applyNumberFormat="1" applyFont="1" applyBorder="1" applyAlignment="1">
      <alignment horizontal="left"/>
    </xf>
    <xf numFmtId="0" fontId="10" fillId="0" borderId="0" xfId="0" applyFont="1"/>
    <xf numFmtId="0" fontId="11" fillId="0" borderId="0" xfId="0" applyFont="1" applyBorder="1"/>
    <xf numFmtId="43" fontId="8" fillId="0" borderId="2" xfId="1" applyNumberFormat="1" applyFont="1" applyBorder="1" applyAlignment="1">
      <alignment horizontal="left"/>
    </xf>
    <xf numFmtId="0" fontId="11" fillId="0" borderId="2" xfId="0" applyFont="1" applyBorder="1"/>
    <xf numFmtId="0" fontId="11" fillId="0" borderId="3" xfId="0" applyFont="1" applyBorder="1"/>
    <xf numFmtId="0" fontId="12" fillId="0" borderId="0" xfId="0" applyFont="1" applyAlignment="1">
      <alignment horizontal="left"/>
    </xf>
    <xf numFmtId="49" fontId="8" fillId="0" borderId="2" xfId="1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4" fillId="0" borderId="2" xfId="0" applyFont="1" applyBorder="1"/>
    <xf numFmtId="0" fontId="10" fillId="0" borderId="9" xfId="0" applyFont="1" applyBorder="1"/>
    <xf numFmtId="0" fontId="10" fillId="0" borderId="7" xfId="0" applyFont="1" applyBorder="1"/>
    <xf numFmtId="0" fontId="12" fillId="0" borderId="0" xfId="0" applyFont="1" applyBorder="1" applyAlignment="1">
      <alignment horizontal="right"/>
    </xf>
    <xf numFmtId="43" fontId="7" fillId="0" borderId="0" xfId="0" applyNumberFormat="1" applyFont="1" applyBorder="1" applyAlignment="1">
      <alignment horizontal="right"/>
    </xf>
    <xf numFmtId="0" fontId="12" fillId="0" borderId="13" xfId="0" applyFont="1" applyBorder="1"/>
    <xf numFmtId="0" fontId="12" fillId="0" borderId="13" xfId="0" applyFont="1" applyBorder="1" applyAlignment="1">
      <alignment horizontal="right"/>
    </xf>
    <xf numFmtId="0" fontId="9" fillId="0" borderId="0" xfId="0" applyFont="1"/>
    <xf numFmtId="43" fontId="5" fillId="0" borderId="0" xfId="0" applyNumberFormat="1" applyFont="1" applyBorder="1" applyAlignment="1">
      <alignment horizontal="right"/>
    </xf>
    <xf numFmtId="0" fontId="3" fillId="0" borderId="0" xfId="0" applyFont="1"/>
    <xf numFmtId="0" fontId="5" fillId="0" borderId="0" xfId="0" applyFont="1" applyBorder="1"/>
    <xf numFmtId="0" fontId="9" fillId="0" borderId="0" xfId="0" applyFont="1" applyBorder="1"/>
    <xf numFmtId="43" fontId="10" fillId="0" borderId="0" xfId="0" applyNumberFormat="1" applyFont="1" applyBorder="1"/>
    <xf numFmtId="0" fontId="7" fillId="0" borderId="0" xfId="0" applyFont="1"/>
    <xf numFmtId="0" fontId="13" fillId="0" borderId="0" xfId="0" applyFont="1"/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NumberFormat="1" applyBorder="1"/>
    <xf numFmtId="49" fontId="0" fillId="0" borderId="1" xfId="0" applyNumberFormat="1" applyBorder="1"/>
    <xf numFmtId="165" fontId="0" fillId="0" borderId="1" xfId="1" applyNumberFormat="1" applyFont="1" applyBorder="1" applyAlignment="1">
      <alignment horizontal="center"/>
    </xf>
    <xf numFmtId="165" fontId="0" fillId="0" borderId="1" xfId="1" applyNumberFormat="1" applyFont="1" applyBorder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0" xfId="0" applyFont="1" applyBorder="1"/>
    <xf numFmtId="0" fontId="5" fillId="0" borderId="2" xfId="0" applyFont="1" applyBorder="1"/>
    <xf numFmtId="43" fontId="5" fillId="0" borderId="16" xfId="0" applyNumberFormat="1" applyFont="1" applyBorder="1" applyAlignment="1">
      <alignment horizontal="right"/>
    </xf>
    <xf numFmtId="165" fontId="5" fillId="0" borderId="2" xfId="1" applyNumberFormat="1" applyFont="1" applyBorder="1" applyAlignment="1">
      <alignment horizontal="left"/>
    </xf>
    <xf numFmtId="43" fontId="5" fillId="0" borderId="2" xfId="1" applyNumberFormat="1" applyFont="1" applyBorder="1" applyAlignment="1">
      <alignment horizontal="left"/>
    </xf>
    <xf numFmtId="49" fontId="5" fillId="0" borderId="2" xfId="1" applyNumberFormat="1" applyFont="1" applyBorder="1" applyAlignment="1">
      <alignment horizontal="center"/>
    </xf>
    <xf numFmtId="0" fontId="5" fillId="0" borderId="2" xfId="1" applyNumberFormat="1" applyFont="1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8" xfId="0" applyBorder="1"/>
    <xf numFmtId="0" fontId="0" fillId="4" borderId="1" xfId="0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8" fillId="0" borderId="2" xfId="0" applyNumberFormat="1" applyFont="1" applyBorder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165" fontId="15" fillId="0" borderId="10" xfId="0" applyNumberFormat="1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17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8</xdr:row>
      <xdr:rowOff>133350</xdr:rowOff>
    </xdr:from>
    <xdr:to>
      <xdr:col>13</xdr:col>
      <xdr:colOff>171450</xdr:colOff>
      <xdr:row>12</xdr:row>
      <xdr:rowOff>152400</xdr:rowOff>
    </xdr:to>
    <xdr:sp macro="[0]!Show_Form" textlink="">
      <xdr:nvSpPr>
        <xdr:cNvPr id="2" name="Rounded Rectangle 1"/>
        <xdr:cNvSpPr/>
      </xdr:nvSpPr>
      <xdr:spPr>
        <a:xfrm>
          <a:off x="4610100" y="1657350"/>
          <a:ext cx="3486150" cy="7810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Launch</a:t>
          </a:r>
          <a:r>
            <a:rPr lang="en-US" sz="4000" baseline="0"/>
            <a:t> Form</a:t>
          </a:r>
          <a:endParaRPr lang="en-US" sz="4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0</xdr:row>
      <xdr:rowOff>19050</xdr:rowOff>
    </xdr:from>
    <xdr:to>
      <xdr:col>8</xdr:col>
      <xdr:colOff>199745</xdr:colOff>
      <xdr:row>4</xdr:row>
      <xdr:rowOff>114300</xdr:rowOff>
    </xdr:to>
    <xdr:pic>
      <xdr:nvPicPr>
        <xdr:cNvPr id="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3525" y="19050"/>
          <a:ext cx="409547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4</xdr:row>
          <xdr:rowOff>142875</xdr:rowOff>
        </xdr:from>
        <xdr:to>
          <xdr:col>13</xdr:col>
          <xdr:colOff>409575</xdr:colOff>
          <xdr:row>6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:J18"/>
  <sheetViews>
    <sheetView showGridLines="0" tabSelected="1" workbookViewId="0">
      <selection activeCell="P9" sqref="P9"/>
    </sheetView>
  </sheetViews>
  <sheetFormatPr defaultRowHeight="15" x14ac:dyDescent="0.25"/>
  <sheetData>
    <row r="2" spans="5:10" x14ac:dyDescent="0.25">
      <c r="J2" t="s">
        <v>8</v>
      </c>
    </row>
    <row r="8" spans="5:10" x14ac:dyDescent="0.25">
      <c r="E8" t="s">
        <v>8</v>
      </c>
    </row>
    <row r="18" spans="6:6" x14ac:dyDescent="0.25">
      <c r="F18" t="s">
        <v>8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6"/>
  <sheetViews>
    <sheetView workbookViewId="0">
      <selection activeCell="C22" sqref="C22"/>
    </sheetView>
  </sheetViews>
  <sheetFormatPr defaultRowHeight="15" x14ac:dyDescent="0.25"/>
  <cols>
    <col min="1" max="1" width="9.28515625" customWidth="1"/>
    <col min="2" max="2" width="12.85546875" style="5" customWidth="1"/>
    <col min="3" max="3" width="13.7109375" style="4" customWidth="1"/>
    <col min="4" max="4" width="23.85546875" bestFit="1" customWidth="1"/>
    <col min="5" max="5" width="32.42578125" bestFit="1" customWidth="1"/>
    <col min="6" max="6" width="22.85546875" bestFit="1" customWidth="1"/>
    <col min="7" max="7" width="13.140625" customWidth="1"/>
    <col min="8" max="8" width="15" style="5" customWidth="1"/>
    <col min="9" max="9" width="15.5703125" customWidth="1"/>
    <col min="10" max="10" width="53.42578125" bestFit="1" customWidth="1"/>
    <col min="11" max="11" width="18.42578125" customWidth="1"/>
  </cols>
  <sheetData>
    <row r="1" spans="1:11" x14ac:dyDescent="0.25">
      <c r="A1" s="1" t="s">
        <v>5</v>
      </c>
      <c r="B1" s="2" t="s">
        <v>9</v>
      </c>
      <c r="C1" s="3" t="s">
        <v>1</v>
      </c>
      <c r="D1" s="1" t="s">
        <v>2</v>
      </c>
      <c r="E1" s="1" t="s">
        <v>10</v>
      </c>
      <c r="F1" s="1" t="s">
        <v>7</v>
      </c>
      <c r="G1" s="1" t="s">
        <v>3</v>
      </c>
      <c r="H1" s="2" t="s">
        <v>0</v>
      </c>
      <c r="I1" s="1" t="s">
        <v>4</v>
      </c>
      <c r="J1" s="1" t="s">
        <v>30</v>
      </c>
      <c r="K1" s="1" t="s">
        <v>6</v>
      </c>
    </row>
    <row r="2" spans="1:11" x14ac:dyDescent="0.25">
      <c r="A2" s="38">
        <f t="shared" ref="A2:A4" si="0">ROW()-1</f>
        <v>1</v>
      </c>
      <c r="B2" s="39">
        <v>1</v>
      </c>
      <c r="C2" s="40" t="s">
        <v>31</v>
      </c>
      <c r="D2" s="38" t="s">
        <v>32</v>
      </c>
      <c r="E2" s="38" t="s">
        <v>33</v>
      </c>
      <c r="F2" s="38" t="s">
        <v>41</v>
      </c>
      <c r="G2" s="38" t="s">
        <v>34</v>
      </c>
      <c r="H2" s="39">
        <v>1000238208</v>
      </c>
      <c r="I2" s="44">
        <v>7078</v>
      </c>
      <c r="J2" s="38" t="s">
        <v>35</v>
      </c>
      <c r="K2" s="38" t="s">
        <v>47</v>
      </c>
    </row>
    <row r="3" spans="1:11" x14ac:dyDescent="0.25">
      <c r="A3" s="38">
        <f t="shared" si="0"/>
        <v>2</v>
      </c>
      <c r="B3" s="39">
        <v>2</v>
      </c>
      <c r="C3" s="40" t="s">
        <v>31</v>
      </c>
      <c r="D3" s="38" t="s">
        <v>36</v>
      </c>
      <c r="E3" s="38" t="s">
        <v>37</v>
      </c>
      <c r="F3" s="38" t="s">
        <v>38</v>
      </c>
      <c r="G3" s="38" t="s">
        <v>34</v>
      </c>
      <c r="H3" s="39">
        <v>1000238208</v>
      </c>
      <c r="I3" s="44">
        <v>10000</v>
      </c>
      <c r="J3" s="38" t="s">
        <v>39</v>
      </c>
      <c r="K3" s="38" t="s">
        <v>40</v>
      </c>
    </row>
    <row r="4" spans="1:11" x14ac:dyDescent="0.25">
      <c r="A4" s="38">
        <f t="shared" si="0"/>
        <v>3</v>
      </c>
      <c r="B4" s="39">
        <v>3</v>
      </c>
      <c r="C4" s="40" t="s">
        <v>31</v>
      </c>
      <c r="D4" s="38" t="s">
        <v>42</v>
      </c>
      <c r="E4" s="38" t="s">
        <v>43</v>
      </c>
      <c r="F4" s="38" t="s">
        <v>44</v>
      </c>
      <c r="G4" s="38" t="s">
        <v>34</v>
      </c>
      <c r="H4" s="39">
        <v>1000238208</v>
      </c>
      <c r="I4" s="44">
        <v>25000</v>
      </c>
      <c r="J4" s="38" t="s">
        <v>45</v>
      </c>
      <c r="K4" s="38" t="s">
        <v>46</v>
      </c>
    </row>
    <row r="5" spans="1:11" x14ac:dyDescent="0.25">
      <c r="A5" s="38">
        <f t="shared" ref="A5:A10" si="1">ROW()-1</f>
        <v>4</v>
      </c>
      <c r="B5" s="39">
        <v>4</v>
      </c>
      <c r="C5" s="40" t="s">
        <v>48</v>
      </c>
      <c r="D5" s="38" t="s">
        <v>49</v>
      </c>
      <c r="E5" s="38" t="s">
        <v>50</v>
      </c>
      <c r="F5" s="38" t="s">
        <v>51</v>
      </c>
      <c r="G5" s="38" t="s">
        <v>34</v>
      </c>
      <c r="H5" s="39">
        <v>1003656197</v>
      </c>
      <c r="I5" s="44">
        <v>450000</v>
      </c>
      <c r="J5" s="38" t="s">
        <v>52</v>
      </c>
      <c r="K5" s="56">
        <v>44996.723217592589</v>
      </c>
    </row>
    <row r="6" spans="1:11" x14ac:dyDescent="0.25">
      <c r="A6" s="38">
        <f t="shared" si="1"/>
        <v>5</v>
      </c>
      <c r="B6" s="39">
        <v>5</v>
      </c>
      <c r="C6" s="40" t="s">
        <v>48</v>
      </c>
      <c r="D6" s="38" t="s">
        <v>53</v>
      </c>
      <c r="E6" s="38" t="s">
        <v>54</v>
      </c>
      <c r="F6" s="38" t="s">
        <v>55</v>
      </c>
      <c r="G6" s="38" t="s">
        <v>34</v>
      </c>
      <c r="H6" s="39">
        <v>1000238208</v>
      </c>
      <c r="I6" s="44">
        <v>43000</v>
      </c>
      <c r="J6" s="38" t="s">
        <v>56</v>
      </c>
      <c r="K6" s="38" t="s">
        <v>57</v>
      </c>
    </row>
    <row r="7" spans="1:11" x14ac:dyDescent="0.25">
      <c r="A7" s="38">
        <f t="shared" si="1"/>
        <v>6</v>
      </c>
      <c r="B7" s="39">
        <v>8</v>
      </c>
      <c r="C7" s="40" t="s">
        <v>60</v>
      </c>
      <c r="D7" s="38" t="s">
        <v>49</v>
      </c>
      <c r="E7" s="38" t="s">
        <v>61</v>
      </c>
      <c r="F7" s="38" t="s">
        <v>62</v>
      </c>
      <c r="G7" s="38" t="s">
        <v>34</v>
      </c>
      <c r="H7" s="39" t="s">
        <v>59</v>
      </c>
      <c r="I7" s="44">
        <v>13000</v>
      </c>
      <c r="J7" s="38" t="s">
        <v>63</v>
      </c>
      <c r="K7" s="38" t="s">
        <v>64</v>
      </c>
    </row>
    <row r="8" spans="1:11" x14ac:dyDescent="0.25">
      <c r="A8" s="38">
        <f t="shared" si="1"/>
        <v>7</v>
      </c>
      <c r="B8" s="39">
        <v>9</v>
      </c>
      <c r="C8" s="40" t="s">
        <v>65</v>
      </c>
      <c r="D8" s="38" t="s">
        <v>58</v>
      </c>
      <c r="E8" s="38" t="s">
        <v>66</v>
      </c>
      <c r="F8" s="38" t="s">
        <v>67</v>
      </c>
      <c r="G8" s="38" t="s">
        <v>34</v>
      </c>
      <c r="H8" s="39">
        <v>1000238208</v>
      </c>
      <c r="I8" s="44">
        <v>100000</v>
      </c>
      <c r="J8" s="38" t="s">
        <v>68</v>
      </c>
      <c r="K8" s="56">
        <v>44996.725682870368</v>
      </c>
    </row>
    <row r="9" spans="1:11" x14ac:dyDescent="0.25">
      <c r="A9" s="38">
        <f t="shared" si="1"/>
        <v>8</v>
      </c>
      <c r="B9" s="39">
        <v>10</v>
      </c>
      <c r="C9" s="40" t="s">
        <v>91</v>
      </c>
      <c r="D9" s="38" t="s">
        <v>77</v>
      </c>
      <c r="E9" s="38" t="s">
        <v>92</v>
      </c>
      <c r="F9" s="38" t="s">
        <v>75</v>
      </c>
      <c r="G9" s="38" t="s">
        <v>59</v>
      </c>
      <c r="H9" s="39" t="s">
        <v>59</v>
      </c>
      <c r="I9" s="44">
        <v>11000</v>
      </c>
      <c r="J9" s="38" t="s">
        <v>68</v>
      </c>
      <c r="K9" s="56">
        <v>44996.800000000003</v>
      </c>
    </row>
    <row r="10" spans="1:11" x14ac:dyDescent="0.25">
      <c r="A10" s="38">
        <f t="shared" si="1"/>
        <v>9</v>
      </c>
      <c r="B10" s="39">
        <v>11</v>
      </c>
      <c r="C10" s="40" t="s">
        <v>91</v>
      </c>
      <c r="D10" s="38" t="s">
        <v>58</v>
      </c>
      <c r="E10" s="38" t="s">
        <v>93</v>
      </c>
      <c r="F10" s="38" t="s">
        <v>94</v>
      </c>
      <c r="G10" s="38" t="s">
        <v>70</v>
      </c>
      <c r="H10" s="39">
        <v>1000238208</v>
      </c>
      <c r="I10" s="44">
        <v>12000</v>
      </c>
      <c r="J10" s="38" t="s">
        <v>93</v>
      </c>
      <c r="K10" s="56">
        <v>44996.804780092592</v>
      </c>
    </row>
    <row r="11" spans="1:11" x14ac:dyDescent="0.25">
      <c r="A11" s="38"/>
      <c r="B11" s="39"/>
      <c r="C11" s="40"/>
      <c r="D11" s="38"/>
      <c r="E11" s="38"/>
      <c r="F11" s="38"/>
      <c r="G11" s="38"/>
      <c r="H11" s="39"/>
      <c r="I11" s="44"/>
      <c r="J11" s="38"/>
      <c r="K11" s="38"/>
    </row>
    <row r="12" spans="1:11" x14ac:dyDescent="0.25">
      <c r="A12" s="38"/>
      <c r="B12" s="39"/>
      <c r="C12" s="40"/>
      <c r="D12" s="38"/>
      <c r="E12" s="38"/>
      <c r="F12" s="38"/>
      <c r="G12" s="38"/>
      <c r="H12" s="39"/>
      <c r="I12" s="44"/>
      <c r="J12" s="38"/>
      <c r="K12" s="38"/>
    </row>
    <row r="13" spans="1:11" x14ac:dyDescent="0.25">
      <c r="A13" s="38"/>
      <c r="B13" s="39"/>
      <c r="C13" s="40"/>
      <c r="D13" s="38"/>
      <c r="E13" s="38"/>
      <c r="F13" s="38"/>
      <c r="G13" s="38"/>
      <c r="H13" s="39"/>
      <c r="I13" s="44"/>
      <c r="J13" s="38"/>
      <c r="K13" s="38"/>
    </row>
    <row r="14" spans="1:11" x14ac:dyDescent="0.25">
      <c r="A14" s="38"/>
      <c r="B14" s="39"/>
      <c r="C14" s="40"/>
      <c r="D14" s="38"/>
      <c r="E14" s="38"/>
      <c r="F14" s="38"/>
      <c r="G14" s="38"/>
      <c r="H14" s="39"/>
      <c r="I14" s="44"/>
      <c r="J14" s="38"/>
      <c r="K14" s="38"/>
    </row>
    <row r="15" spans="1:11" x14ac:dyDescent="0.25">
      <c r="A15" s="38"/>
      <c r="B15" s="39"/>
      <c r="C15" s="40"/>
      <c r="D15" s="38"/>
      <c r="E15" s="38"/>
      <c r="F15" s="38"/>
      <c r="G15" s="38"/>
      <c r="H15" s="39"/>
      <c r="I15" s="44"/>
      <c r="J15" s="38"/>
      <c r="K15" s="38"/>
    </row>
    <row r="16" spans="1:11" x14ac:dyDescent="0.25">
      <c r="A16" s="38"/>
      <c r="B16" s="39"/>
      <c r="C16" s="40"/>
      <c r="D16" s="38"/>
      <c r="E16" s="38"/>
      <c r="F16" s="38"/>
      <c r="G16" s="38"/>
      <c r="H16" s="39"/>
      <c r="I16" s="44"/>
      <c r="J16" s="38"/>
      <c r="K16" s="38"/>
    </row>
    <row r="17" spans="1:11" x14ac:dyDescent="0.25">
      <c r="A17" s="38"/>
      <c r="B17" s="39"/>
      <c r="C17" s="40"/>
      <c r="D17" s="38"/>
      <c r="E17" s="38"/>
      <c r="F17" s="38"/>
      <c r="G17" s="38"/>
      <c r="H17" s="39"/>
      <c r="I17" s="44"/>
      <c r="J17" s="38"/>
      <c r="K17" s="38"/>
    </row>
    <row r="18" spans="1:11" x14ac:dyDescent="0.25">
      <c r="A18" s="38"/>
      <c r="B18" s="39"/>
      <c r="C18" s="40"/>
      <c r="D18" s="38"/>
      <c r="E18" s="38"/>
      <c r="F18" s="38"/>
      <c r="G18" s="38"/>
      <c r="H18" s="39"/>
      <c r="I18" s="44"/>
      <c r="J18" s="38"/>
      <c r="K18" s="38"/>
    </row>
    <row r="19" spans="1:11" x14ac:dyDescent="0.25">
      <c r="A19" s="38"/>
      <c r="B19" s="39"/>
      <c r="C19" s="40"/>
      <c r="D19" s="38"/>
      <c r="E19" s="38"/>
      <c r="F19" s="38"/>
      <c r="G19" s="38"/>
      <c r="H19" s="39"/>
      <c r="I19" s="44"/>
      <c r="J19" s="38"/>
      <c r="K19" s="38"/>
    </row>
    <row r="20" spans="1:11" x14ac:dyDescent="0.25">
      <c r="A20" s="38"/>
      <c r="B20" s="39"/>
      <c r="C20" s="40"/>
      <c r="D20" s="38"/>
      <c r="E20" s="38"/>
      <c r="F20" s="38"/>
      <c r="G20" s="38"/>
      <c r="H20" s="39"/>
      <c r="I20" s="44"/>
      <c r="J20" s="38"/>
      <c r="K20" s="38"/>
    </row>
    <row r="21" spans="1:11" x14ac:dyDescent="0.25">
      <c r="A21" s="38"/>
      <c r="B21" s="39"/>
      <c r="C21" s="40"/>
      <c r="D21" s="38"/>
      <c r="E21" s="38"/>
      <c r="F21" s="38"/>
      <c r="G21" s="38"/>
      <c r="H21" s="39"/>
      <c r="I21" s="44"/>
      <c r="J21" s="38"/>
      <c r="K21" s="38"/>
    </row>
    <row r="22" spans="1:11" x14ac:dyDescent="0.25">
      <c r="A22" s="38"/>
      <c r="B22" s="39"/>
      <c r="C22" s="40"/>
      <c r="D22" s="38"/>
      <c r="E22" s="38"/>
      <c r="F22" s="38"/>
      <c r="G22" s="38"/>
      <c r="H22" s="39"/>
      <c r="I22" s="44"/>
      <c r="J22" s="38"/>
      <c r="K22" s="38"/>
    </row>
    <row r="23" spans="1:11" x14ac:dyDescent="0.25">
      <c r="A23" s="38"/>
      <c r="B23" s="39"/>
      <c r="C23" s="40"/>
      <c r="D23" s="38"/>
      <c r="E23" s="38"/>
      <c r="F23" s="38"/>
      <c r="G23" s="38"/>
      <c r="H23" s="39"/>
      <c r="I23" s="44"/>
      <c r="J23" s="38"/>
      <c r="K23" s="38"/>
    </row>
    <row r="24" spans="1:11" x14ac:dyDescent="0.25">
      <c r="A24" s="38"/>
      <c r="B24" s="39"/>
      <c r="C24" s="40"/>
      <c r="D24" s="38"/>
      <c r="E24" s="38"/>
      <c r="F24" s="38"/>
      <c r="G24" s="38"/>
      <c r="H24" s="39"/>
      <c r="I24" s="44"/>
      <c r="J24" s="38"/>
      <c r="K24" s="38"/>
    </row>
    <row r="25" spans="1:11" x14ac:dyDescent="0.25">
      <c r="A25" s="41"/>
      <c r="B25" s="42"/>
      <c r="C25" s="43"/>
      <c r="D25" s="41"/>
      <c r="E25" s="41"/>
      <c r="F25" s="41"/>
      <c r="G25" s="41"/>
      <c r="H25" s="42"/>
      <c r="I25" s="45"/>
      <c r="J25" s="41"/>
      <c r="K25" s="41"/>
    </row>
    <row r="26" spans="1:11" x14ac:dyDescent="0.25">
      <c r="A26" s="41"/>
      <c r="B26" s="42"/>
      <c r="C26" s="43"/>
      <c r="D26" s="41"/>
      <c r="E26" s="41"/>
      <c r="F26" s="41"/>
      <c r="G26" s="41"/>
      <c r="H26" s="42"/>
      <c r="I26" s="45"/>
      <c r="J26" s="41"/>
      <c r="K26" s="41"/>
    </row>
  </sheetData>
  <pageMargins left="0.7" right="0.7" top="0.75" bottom="0.75" header="0.3" footer="0.3"/>
  <pageSetup scale="3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7" sqref="H7"/>
    </sheetView>
  </sheetViews>
  <sheetFormatPr defaultRowHeight="15" x14ac:dyDescent="0.25"/>
  <sheetData/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6:J40"/>
  <sheetViews>
    <sheetView showGridLines="0" topLeftCell="A13" workbookViewId="0">
      <selection activeCell="M10" sqref="M10"/>
    </sheetView>
  </sheetViews>
  <sheetFormatPr defaultRowHeight="15" x14ac:dyDescent="0.25"/>
  <cols>
    <col min="1" max="1" width="1.7109375" customWidth="1"/>
    <col min="2" max="2" width="11.28515625" customWidth="1"/>
    <col min="3" max="3" width="10" customWidth="1"/>
    <col min="4" max="4" width="17.42578125" customWidth="1"/>
    <col min="6" max="6" width="8.85546875" customWidth="1"/>
    <col min="7" max="7" width="8.140625" customWidth="1"/>
    <col min="8" max="8" width="9.140625" customWidth="1"/>
    <col min="9" max="9" width="15.5703125" customWidth="1"/>
    <col min="10" max="10" width="10.5703125" bestFit="1" customWidth="1"/>
  </cols>
  <sheetData>
    <row r="6" spans="2:9" ht="15.75" x14ac:dyDescent="0.25">
      <c r="B6" s="65" t="s">
        <v>11</v>
      </c>
      <c r="C6" s="65"/>
      <c r="D6" s="65"/>
      <c r="E6" s="65"/>
      <c r="F6" s="65"/>
      <c r="G6" s="65"/>
      <c r="H6" s="65"/>
      <c r="I6" s="65"/>
    </row>
    <row r="7" spans="2:9" x14ac:dyDescent="0.25">
      <c r="F7" s="6"/>
    </row>
    <row r="8" spans="2:9" ht="15.75" x14ac:dyDescent="0.25">
      <c r="B8" s="8" t="s">
        <v>12</v>
      </c>
      <c r="C8" s="55">
        <v>14</v>
      </c>
      <c r="D8" s="10"/>
      <c r="E8" s="46"/>
      <c r="F8" s="46"/>
      <c r="G8" s="46"/>
      <c r="H8" s="7" t="s">
        <v>13</v>
      </c>
      <c r="I8" s="11">
        <v>45272</v>
      </c>
    </row>
    <row r="9" spans="2:9" ht="15.75" x14ac:dyDescent="0.25">
      <c r="B9" s="12" t="s">
        <v>14</v>
      </c>
      <c r="C9" s="52">
        <v>1200</v>
      </c>
      <c r="D9" s="13"/>
      <c r="E9" s="46"/>
      <c r="F9" s="46"/>
      <c r="G9" s="46"/>
      <c r="H9" s="7"/>
      <c r="I9" s="14"/>
    </row>
    <row r="10" spans="2:9" x14ac:dyDescent="0.25">
      <c r="B10" s="46"/>
      <c r="C10" s="46"/>
      <c r="D10" s="46" t="s">
        <v>15</v>
      </c>
      <c r="E10" s="46"/>
      <c r="F10" s="46"/>
      <c r="G10" s="46"/>
      <c r="H10" s="46"/>
      <c r="I10" s="46"/>
    </row>
    <row r="11" spans="2:9" ht="15.75" x14ac:dyDescent="0.25">
      <c r="B11" s="15" t="s">
        <v>16</v>
      </c>
      <c r="C11" s="53" t="s">
        <v>96</v>
      </c>
      <c r="D11" s="17"/>
      <c r="E11" s="18"/>
      <c r="F11" s="18"/>
      <c r="G11" s="18"/>
      <c r="H11" s="18"/>
      <c r="I11" s="18"/>
    </row>
    <row r="12" spans="2:9" x14ac:dyDescent="0.25">
      <c r="B12" s="46"/>
      <c r="C12" s="46"/>
      <c r="D12" s="19"/>
      <c r="E12" s="19"/>
      <c r="F12" s="19"/>
      <c r="G12" s="19"/>
      <c r="H12" s="19"/>
      <c r="I12" s="19"/>
    </row>
    <row r="13" spans="2:9" ht="15.75" x14ac:dyDescent="0.25">
      <c r="B13" s="20" t="s">
        <v>17</v>
      </c>
      <c r="C13" s="20"/>
      <c r="D13" s="9" t="s">
        <v>55</v>
      </c>
      <c r="E13" s="21"/>
      <c r="F13" s="22" t="s">
        <v>18</v>
      </c>
      <c r="G13" s="55" t="s">
        <v>70</v>
      </c>
      <c r="H13" s="15" t="s">
        <v>19</v>
      </c>
      <c r="I13" s="54" t="s">
        <v>95</v>
      </c>
    </row>
    <row r="14" spans="2:9" x14ac:dyDescent="0.25">
      <c r="B14" s="46"/>
      <c r="C14" s="46"/>
      <c r="D14" s="16"/>
      <c r="E14" s="19"/>
      <c r="F14" s="16"/>
      <c r="G14" s="16"/>
      <c r="H14" s="16"/>
      <c r="I14" s="16"/>
    </row>
    <row r="15" spans="2:9" ht="15.75" x14ac:dyDescent="0.25">
      <c r="B15" s="15" t="s">
        <v>20</v>
      </c>
      <c r="C15" s="15"/>
      <c r="D15" s="50" t="s">
        <v>97</v>
      </c>
      <c r="E15" s="23"/>
      <c r="F15" s="18"/>
      <c r="G15" s="18"/>
      <c r="H15" s="18"/>
      <c r="I15" s="18"/>
    </row>
    <row r="16" spans="2:9" ht="15.75" x14ac:dyDescent="0.25">
      <c r="B16" s="15"/>
      <c r="C16" s="15"/>
      <c r="D16" s="50"/>
      <c r="E16" s="23"/>
      <c r="F16" s="18"/>
      <c r="G16" s="18"/>
      <c r="H16" s="18"/>
      <c r="I16" s="18"/>
    </row>
    <row r="17" spans="2:9" ht="15.75" thickBot="1" x14ac:dyDescent="0.3">
      <c r="B17" s="46"/>
      <c r="C17" s="46"/>
      <c r="D17" s="47"/>
      <c r="E17" s="46"/>
      <c r="F17" s="46"/>
      <c r="G17" s="46"/>
      <c r="H17" s="46"/>
      <c r="I17" s="46"/>
    </row>
    <row r="18" spans="2:9" ht="15.75" x14ac:dyDescent="0.25">
      <c r="B18" s="48"/>
      <c r="C18" s="48"/>
      <c r="D18" s="66" t="s">
        <v>21</v>
      </c>
      <c r="E18" s="67"/>
      <c r="F18" s="67"/>
      <c r="G18" s="68"/>
      <c r="H18" s="24" t="s">
        <v>22</v>
      </c>
      <c r="I18" s="25"/>
    </row>
    <row r="19" spans="2:9" ht="18" customHeight="1" x14ac:dyDescent="0.25">
      <c r="B19" s="49"/>
      <c r="C19" s="49"/>
      <c r="D19" s="69"/>
      <c r="E19" s="70"/>
      <c r="F19" s="70"/>
      <c r="G19" s="71"/>
      <c r="H19" s="26" t="s">
        <v>23</v>
      </c>
      <c r="I19" s="27">
        <f>C9</f>
        <v>1200</v>
      </c>
    </row>
    <row r="20" spans="2:9" ht="15.75" customHeight="1" x14ac:dyDescent="0.25">
      <c r="B20" s="49"/>
      <c r="C20" s="49"/>
      <c r="D20" s="72" t="s">
        <v>49</v>
      </c>
      <c r="E20" s="73"/>
      <c r="F20" s="73"/>
      <c r="G20" s="74"/>
      <c r="H20" s="26" t="s">
        <v>23</v>
      </c>
      <c r="I20" s="27"/>
    </row>
    <row r="21" spans="2:9" ht="29.1" customHeight="1" x14ac:dyDescent="0.25">
      <c r="B21" s="49"/>
      <c r="C21" s="49"/>
      <c r="D21" s="69"/>
      <c r="E21" s="70"/>
      <c r="F21" s="70"/>
      <c r="G21" s="71"/>
      <c r="H21" s="26" t="s">
        <v>23</v>
      </c>
      <c r="I21" s="27"/>
    </row>
    <row r="22" spans="2:9" ht="29.1" customHeight="1" thickBot="1" x14ac:dyDescent="0.3">
      <c r="B22" s="28" t="s">
        <v>24</v>
      </c>
      <c r="C22" s="28"/>
      <c r="D22" s="61"/>
      <c r="E22" s="62"/>
      <c r="F22" s="62"/>
      <c r="G22" s="63"/>
      <c r="H22" s="29" t="s">
        <v>23</v>
      </c>
      <c r="I22" s="27"/>
    </row>
    <row r="23" spans="2:9" ht="18.75" thickBot="1" x14ac:dyDescent="0.3">
      <c r="B23" s="46"/>
      <c r="C23" s="46"/>
      <c r="D23" s="46"/>
      <c r="E23" s="46"/>
      <c r="F23" s="46"/>
      <c r="G23" s="75" t="s">
        <v>29</v>
      </c>
      <c r="H23" s="76"/>
      <c r="I23" s="51">
        <f>SUM(I19:I22)</f>
        <v>1200</v>
      </c>
    </row>
    <row r="24" spans="2:9" ht="9.9499999999999993" customHeight="1" x14ac:dyDescent="0.25">
      <c r="B24" s="46"/>
      <c r="C24" s="46"/>
      <c r="D24" s="46"/>
      <c r="E24" s="46"/>
      <c r="F24" s="46"/>
      <c r="G24" s="30"/>
      <c r="H24" s="46"/>
      <c r="I24" s="31"/>
    </row>
    <row r="25" spans="2:9" x14ac:dyDescent="0.25">
      <c r="B25" s="64" t="str">
        <f>"Sum Of " &amp; SpellCurr(I23)</f>
        <v>Sum Of Rupees One Thousand Two Hundred  Only</v>
      </c>
      <c r="C25" s="64"/>
      <c r="D25" s="64"/>
      <c r="E25" s="64"/>
      <c r="F25" s="64"/>
      <c r="G25" s="64"/>
      <c r="H25" s="64"/>
      <c r="I25" s="64"/>
    </row>
    <row r="26" spans="2:9" ht="18" x14ac:dyDescent="0.25">
      <c r="B26" s="46" t="s">
        <v>28</v>
      </c>
      <c r="C26" s="46"/>
      <c r="D26" s="32"/>
      <c r="E26" s="33"/>
      <c r="F26" s="49"/>
      <c r="G26" s="34"/>
      <c r="H26" s="49"/>
      <c r="I26" s="35"/>
    </row>
    <row r="27" spans="2:9" ht="9.9499999999999993" customHeight="1" x14ac:dyDescent="0.25">
      <c r="B27" s="46"/>
      <c r="C27" s="46"/>
      <c r="D27" s="46"/>
      <c r="E27" s="46"/>
      <c r="F27" s="46"/>
      <c r="G27" s="30"/>
      <c r="H27" s="46"/>
      <c r="I27" s="35"/>
    </row>
    <row r="28" spans="2:9" x14ac:dyDescent="0.25">
      <c r="B28" s="36" t="s">
        <v>25</v>
      </c>
      <c r="C28" s="36"/>
      <c r="D28" s="46"/>
      <c r="E28" s="36" t="s">
        <v>26</v>
      </c>
      <c r="F28" s="46"/>
      <c r="G28" s="46"/>
      <c r="H28" s="36" t="s">
        <v>27</v>
      </c>
      <c r="I28" s="36"/>
    </row>
    <row r="29" spans="2:9" ht="9.9499999999999993" customHeight="1" x14ac:dyDescent="0.25">
      <c r="B29" s="37"/>
      <c r="C29" s="37"/>
      <c r="D29" s="46"/>
      <c r="E29" s="46"/>
      <c r="F29" s="46"/>
      <c r="G29" s="46"/>
      <c r="H29" s="46"/>
      <c r="I29" s="46"/>
    </row>
    <row r="31" spans="2:9" ht="9.9499999999999993" customHeight="1" x14ac:dyDescent="0.25"/>
    <row r="40" spans="10:10" x14ac:dyDescent="0.25">
      <c r="J40" s="5"/>
    </row>
  </sheetData>
  <mergeCells count="8">
    <mergeCell ref="D22:G22"/>
    <mergeCell ref="B25:I25"/>
    <mergeCell ref="B6:I6"/>
    <mergeCell ref="D18:G18"/>
    <mergeCell ref="D19:G19"/>
    <mergeCell ref="D20:G20"/>
    <mergeCell ref="D21:G21"/>
    <mergeCell ref="G23:H23"/>
  </mergeCells>
  <printOptions horizontalCentered="1"/>
  <pageMargins left="0.7" right="0.7" top="0.25" bottom="0.75" header="0.3" footer="0.3"/>
  <pageSetup scale="9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11</xdr:col>
                <xdr:colOff>381000</xdr:colOff>
                <xdr:row>4</xdr:row>
                <xdr:rowOff>142875</xdr:rowOff>
              </from>
              <to>
                <xdr:col>13</xdr:col>
                <xdr:colOff>409575</xdr:colOff>
                <xdr:row>6</xdr:row>
                <xdr:rowOff>133350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combo_box"/>
  <dimension ref="A1:D22"/>
  <sheetViews>
    <sheetView showGridLines="0" workbookViewId="0">
      <selection activeCell="B6" sqref="B6"/>
    </sheetView>
  </sheetViews>
  <sheetFormatPr defaultRowHeight="15" x14ac:dyDescent="0.25"/>
  <cols>
    <col min="1" max="1" width="27.5703125" customWidth="1"/>
    <col min="2" max="3" width="21" customWidth="1"/>
    <col min="4" max="4" width="31.85546875" customWidth="1"/>
  </cols>
  <sheetData>
    <row r="1" spans="1:4" x14ac:dyDescent="0.25">
      <c r="A1" s="57" t="s">
        <v>69</v>
      </c>
      <c r="B1" s="57" t="s">
        <v>71</v>
      </c>
      <c r="C1" s="60" t="s">
        <v>73</v>
      </c>
      <c r="D1" s="60" t="s">
        <v>76</v>
      </c>
    </row>
    <row r="2" spans="1:4" x14ac:dyDescent="0.25">
      <c r="A2" s="59" t="s">
        <v>59</v>
      </c>
      <c r="B2" s="59" t="s">
        <v>59</v>
      </c>
      <c r="C2" s="41" t="s">
        <v>75</v>
      </c>
      <c r="D2" s="41" t="s">
        <v>58</v>
      </c>
    </row>
    <row r="3" spans="1:4" x14ac:dyDescent="0.25">
      <c r="A3" s="41" t="s">
        <v>70</v>
      </c>
      <c r="B3" s="58">
        <v>1000238208</v>
      </c>
      <c r="C3" s="41" t="s">
        <v>55</v>
      </c>
      <c r="D3" s="41" t="s">
        <v>49</v>
      </c>
    </row>
    <row r="4" spans="1:4" x14ac:dyDescent="0.25">
      <c r="A4" s="41" t="s">
        <v>34</v>
      </c>
      <c r="B4" s="58">
        <v>1003656197</v>
      </c>
      <c r="C4" s="41" t="s">
        <v>74</v>
      </c>
      <c r="D4" s="41" t="s">
        <v>77</v>
      </c>
    </row>
    <row r="5" spans="1:4" x14ac:dyDescent="0.25">
      <c r="A5" s="41" t="s">
        <v>72</v>
      </c>
      <c r="B5" s="41"/>
      <c r="C5" s="41" t="s">
        <v>62</v>
      </c>
      <c r="D5" s="41" t="s">
        <v>32</v>
      </c>
    </row>
    <row r="6" spans="1:4" x14ac:dyDescent="0.25">
      <c r="A6" s="41"/>
      <c r="B6" s="41"/>
      <c r="C6" s="41"/>
      <c r="D6" s="41" t="s">
        <v>78</v>
      </c>
    </row>
    <row r="7" spans="1:4" x14ac:dyDescent="0.25">
      <c r="A7" s="41"/>
      <c r="B7" s="41"/>
      <c r="C7" s="41"/>
      <c r="D7" s="41" t="s">
        <v>53</v>
      </c>
    </row>
    <row r="8" spans="1:4" x14ac:dyDescent="0.25">
      <c r="A8" s="41"/>
      <c r="B8" s="41"/>
      <c r="C8" s="41"/>
      <c r="D8" s="41" t="s">
        <v>79</v>
      </c>
    </row>
    <row r="9" spans="1:4" x14ac:dyDescent="0.25">
      <c r="A9" s="41"/>
      <c r="B9" s="41"/>
      <c r="C9" s="41"/>
      <c r="D9" s="41" t="s">
        <v>80</v>
      </c>
    </row>
    <row r="10" spans="1:4" x14ac:dyDescent="0.25">
      <c r="A10" s="41"/>
      <c r="B10" s="41"/>
      <c r="C10" s="41"/>
      <c r="D10" s="41" t="s">
        <v>36</v>
      </c>
    </row>
    <row r="11" spans="1:4" x14ac:dyDescent="0.25">
      <c r="A11" s="41"/>
      <c r="B11" s="41"/>
      <c r="C11" s="41"/>
      <c r="D11" s="41" t="s">
        <v>81</v>
      </c>
    </row>
    <row r="12" spans="1:4" x14ac:dyDescent="0.25">
      <c r="A12" s="41"/>
      <c r="B12" s="41"/>
      <c r="C12" s="41"/>
      <c r="D12" s="41" t="s">
        <v>82</v>
      </c>
    </row>
    <row r="13" spans="1:4" x14ac:dyDescent="0.25">
      <c r="A13" s="41"/>
      <c r="B13" s="41"/>
      <c r="C13" s="41"/>
      <c r="D13" s="41" t="s">
        <v>83</v>
      </c>
    </row>
    <row r="14" spans="1:4" x14ac:dyDescent="0.25">
      <c r="A14" s="41"/>
      <c r="B14" s="41"/>
      <c r="C14" s="41"/>
      <c r="D14" s="41" t="s">
        <v>84</v>
      </c>
    </row>
    <row r="15" spans="1:4" x14ac:dyDescent="0.25">
      <c r="A15" s="41"/>
      <c r="B15" s="41"/>
      <c r="C15" s="41"/>
      <c r="D15" s="41" t="s">
        <v>85</v>
      </c>
    </row>
    <row r="16" spans="1:4" x14ac:dyDescent="0.25">
      <c r="A16" s="41"/>
      <c r="B16" s="41"/>
      <c r="C16" s="41"/>
      <c r="D16" s="41" t="s">
        <v>86</v>
      </c>
    </row>
    <row r="17" spans="1:4" x14ac:dyDescent="0.25">
      <c r="A17" s="41"/>
      <c r="B17" s="41"/>
      <c r="C17" s="41"/>
      <c r="D17" s="41" t="s">
        <v>87</v>
      </c>
    </row>
    <row r="18" spans="1:4" x14ac:dyDescent="0.25">
      <c r="A18" s="41"/>
      <c r="B18" s="41"/>
      <c r="C18" s="41"/>
      <c r="D18" s="41" t="s">
        <v>88</v>
      </c>
    </row>
    <row r="19" spans="1:4" x14ac:dyDescent="0.25">
      <c r="A19" s="41"/>
      <c r="B19" s="41"/>
      <c r="C19" s="41"/>
      <c r="D19" s="41" t="s">
        <v>89</v>
      </c>
    </row>
    <row r="20" spans="1:4" x14ac:dyDescent="0.25">
      <c r="A20" s="41"/>
      <c r="B20" s="41"/>
      <c r="C20" s="41"/>
      <c r="D20" s="41" t="s">
        <v>90</v>
      </c>
    </row>
    <row r="21" spans="1:4" x14ac:dyDescent="0.25">
      <c r="A21" s="41"/>
      <c r="B21" s="41"/>
      <c r="C21" s="41"/>
      <c r="D21" s="41" t="s">
        <v>42</v>
      </c>
    </row>
    <row r="22" spans="1:4" x14ac:dyDescent="0.25">
      <c r="A22" s="41"/>
      <c r="B22" s="41"/>
      <c r="C22" s="41"/>
      <c r="D22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Database</vt:lpstr>
      <vt:lpstr>SearchData</vt:lpstr>
      <vt:lpstr>Print</vt:lpstr>
      <vt:lpstr>Combo_Box</vt:lpstr>
      <vt:lpstr>Dynamic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cp:lastPrinted>2023-11-04T12:24:37Z</cp:lastPrinted>
  <dcterms:created xsi:type="dcterms:W3CDTF">2023-10-15T12:09:22Z</dcterms:created>
  <dcterms:modified xsi:type="dcterms:W3CDTF">2023-11-04T12:33:23Z</dcterms:modified>
</cp:coreProperties>
</file>